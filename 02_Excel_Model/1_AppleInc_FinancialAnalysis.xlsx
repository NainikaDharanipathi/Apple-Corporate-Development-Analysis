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Nainika Dharanipathi\Desktop\Nainika\HS Roadmap\Finance\Corporate Development Portfolio\"/>
    </mc:Choice>
  </mc:AlternateContent>
  <xr:revisionPtr revIDLastSave="0" documentId="13_ncr:1_{70AD8BCE-D87C-4594-8072-D59C5C59EECB}" xr6:coauthVersionLast="47" xr6:coauthVersionMax="47" xr10:uidLastSave="{00000000-0000-0000-0000-000000000000}"/>
  <bookViews>
    <workbookView xWindow="28680" yWindow="-120" windowWidth="38640" windowHeight="21240" activeTab="4" xr2:uid="{8A456621-4938-4FF2-B072-55900BEB23D1}"/>
  </bookViews>
  <sheets>
    <sheet name="Financials" sheetId="6" r:id="rId1"/>
    <sheet name="Calculations" sheetId="2" r:id="rId2"/>
    <sheet name="Valuation" sheetId="3" r:id="rId3"/>
    <sheet name="M&amp;A Analysis" sheetId="4" r:id="rId4"/>
    <sheet name="Charts" sheetId="5" r:id="rId5"/>
    <sheet name="Sources" sheetId="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2" i="4" l="1"/>
  <c r="B21" i="4"/>
  <c r="H8" i="4"/>
  <c r="G8" i="4" s="1"/>
  <c r="H5" i="4"/>
  <c r="H6" i="4"/>
  <c r="G6" i="4" s="1"/>
  <c r="H7" i="4"/>
  <c r="G7" i="4" s="1"/>
  <c r="G5" i="4"/>
  <c r="H4" i="4"/>
  <c r="G4" i="4" s="1"/>
  <c r="B7" i="3"/>
  <c r="B5" i="3"/>
  <c r="E9" i="2"/>
  <c r="E10" i="2"/>
  <c r="E8" i="2"/>
  <c r="E7" i="2"/>
  <c r="E6" i="2"/>
  <c r="E5" i="2"/>
  <c r="E4" i="2"/>
  <c r="C10" i="2"/>
  <c r="B10" i="2"/>
  <c r="C9" i="2"/>
  <c r="B9" i="2"/>
  <c r="C8" i="2"/>
  <c r="C7" i="2"/>
  <c r="B7" i="2"/>
  <c r="C6" i="2"/>
  <c r="B6" i="2"/>
  <c r="C4" i="2"/>
  <c r="D13" i="6"/>
  <c r="C5" i="2"/>
  <c r="C13" i="6"/>
  <c r="B13" i="6"/>
</calcChain>
</file>

<file path=xl/sharedStrings.xml><?xml version="1.0" encoding="utf-8"?>
<sst xmlns="http://schemas.openxmlformats.org/spreadsheetml/2006/main" count="171" uniqueCount="126">
  <si>
    <t>APPLE INC. - FINANCIAL ANALYSIS</t>
  </si>
  <si>
    <t>Metric</t>
  </si>
  <si>
    <t>FY2024</t>
  </si>
  <si>
    <t>FY2025</t>
  </si>
  <si>
    <t>Notes</t>
  </si>
  <si>
    <t>Revenue</t>
  </si>
  <si>
    <t>Net Income</t>
  </si>
  <si>
    <t>Gross Margin</t>
  </si>
  <si>
    <t>Operating Margin</t>
  </si>
  <si>
    <t>Cash &amp; Cash Equivalents</t>
  </si>
  <si>
    <t>Total Debt</t>
  </si>
  <si>
    <t>Services Revenue</t>
  </si>
  <si>
    <t>Operating Cash Flow</t>
  </si>
  <si>
    <t>Capital Expenditures</t>
  </si>
  <si>
    <t>Free Cash Flow</t>
  </si>
  <si>
    <t>FY2026 YTD</t>
  </si>
  <si>
    <t>APPLE INC. - FINANCIAL CALCULATIONS</t>
  </si>
  <si>
    <t>Interpretation</t>
  </si>
  <si>
    <t>Revenue Growth</t>
  </si>
  <si>
    <t>Net Income Growth</t>
  </si>
  <si>
    <t>Services Revenue Growth</t>
  </si>
  <si>
    <t>Free Cash Flow Margin</t>
  </si>
  <si>
    <t>N/A</t>
  </si>
  <si>
    <t>Value</t>
  </si>
  <si>
    <t>Date</t>
  </si>
  <si>
    <t>What It Suggests</t>
  </si>
  <si>
    <t>APPLE INC. - VALUATION &amp; MARKET DATA</t>
  </si>
  <si>
    <t>Market Capitalization</t>
  </si>
  <si>
    <t>Enterprise Value</t>
  </si>
  <si>
    <t>P/E Ratio</t>
  </si>
  <si>
    <t>Free Cash Flow Yield</t>
  </si>
  <si>
    <t>Other Relevant Metric</t>
  </si>
  <si>
    <t>Apple's enormous market capitalization reflects its scale, brand strength, ecosystem, and investor expectations for continued long-term growth.</t>
  </si>
  <si>
    <t>Enterprise value accounts for both equity value and net debt, providing a broader measure of Apple's overall business value.</t>
  </si>
  <si>
    <t>Revenue growth was positive but moderate, highlighting the importance of Services, new products, and strategic investments to sustain future growth.</t>
  </si>
  <si>
    <t>Price-to-book provides an additional valuation perspective, although it is less informative for Apple than earnings and cash-flow measures because of its large share repurchase program.</t>
  </si>
  <si>
    <t>P/B Ratio</t>
  </si>
  <si>
    <t>APPLE INC. - M&amp;A TARGET ANALYSIS</t>
  </si>
  <si>
    <t>Target/Capability</t>
  </si>
  <si>
    <t>Strategic Fit</t>
  </si>
  <si>
    <t>Capability Gap</t>
  </si>
  <si>
    <t>Synergy Potential</t>
  </si>
  <si>
    <t>Integration Risk</t>
  </si>
  <si>
    <t>AI / Machine Learning</t>
  </si>
  <si>
    <t>Acquistion Cost Attractiveness</t>
  </si>
  <si>
    <t>RATING SCALE</t>
  </si>
  <si>
    <t>Very High</t>
  </si>
  <si>
    <t>8.5-10.0</t>
  </si>
  <si>
    <t>High</t>
  </si>
  <si>
    <t>7.0-8.4</t>
  </si>
  <si>
    <t>Moderate</t>
  </si>
  <si>
    <t>5.0-6.9</t>
  </si>
  <si>
    <t>Low</t>
  </si>
  <si>
    <t>3.0-4.9</t>
  </si>
  <si>
    <t>Very Low</t>
  </si>
  <si>
    <t>0-2.9</t>
  </si>
  <si>
    <t>Note</t>
  </si>
  <si>
    <t>Scores are preliminary analyst assessments based on strategic fit, capability gaps, potential synergies, integration considerations, and acquisition-cost attractiveness. They are not estimates of Apple's actual acquisition plans or transaction valuations.</t>
  </si>
  <si>
    <t>Overall Rating</t>
  </si>
  <si>
    <t>Score</t>
  </si>
  <si>
    <t>Health Technology</t>
  </si>
  <si>
    <t>Semiconductor / Chip Technology</t>
  </si>
  <si>
    <t>Robotics / Automation</t>
  </si>
  <si>
    <t>Content / Media Technology</t>
  </si>
  <si>
    <t>PRELIMINARY M&amp;A CONCLUSION</t>
  </si>
  <si>
    <t>Highest-Ranked Capability</t>
  </si>
  <si>
    <t>Highest Score</t>
  </si>
  <si>
    <t>Overall Recommendation</t>
  </si>
  <si>
    <t>Investigate selectively</t>
  </si>
  <si>
    <t>Reasoning</t>
  </si>
  <si>
    <t>AI and semiconductor capabilities currently show the strongest strategic attractiveness in this preliminary screen. Apple should investigate potential targets selectively rather than pursue an acquisition solely because a capability is strategically attractive. Any transaction should be supported by a strong strategic fit, defensible technology or talent, manageable integration risk, and an acceptable acquisition cost.</t>
  </si>
  <si>
    <t>BUILD VS. BUY VS. PARTNER</t>
  </si>
  <si>
    <t>Capability</t>
  </si>
  <si>
    <t>Build</t>
  </si>
  <si>
    <t>Buy</t>
  </si>
  <si>
    <t>Partner</t>
  </si>
  <si>
    <t>Preferred Approach</t>
  </si>
  <si>
    <t>AI / Maching Learning</t>
  </si>
  <si>
    <t>Build + Partner</t>
  </si>
  <si>
    <t>Apple can develop proprietary AI capabilities internally while using partnerships to accelerate access to specialized models, infrastructure, and talent. An acquisition could provide speed and talent but would carry greater integration and cost risks.</t>
  </si>
  <si>
    <t>Apple's existing ecosystem provides a strong foundation for health features, while partnerships can add specialized capabilities without requiring Apple to acquire an entire healthcare company.</t>
  </si>
  <si>
    <t>Build + Buy</t>
  </si>
  <si>
    <t>Apple already has significant chip-design capabilities, making internal development attractive. Selective acquisitions could accelerate access to specialized semiconductor technology or engineering talent.</t>
  </si>
  <si>
    <t>Partner + Buy</t>
  </si>
  <si>
    <t>Robotics could require specialized capabilities that Apple does not currently possess at the same scale. Partnerships could reduce uncertainty while selective acquisitions could accelerate access to specialized technology and talent.</t>
  </si>
  <si>
    <t>Apple can continue developing its existing content ecosystem while partnering with creators and media companies. Large acquisitions may create unnecessary integration complexity.</t>
  </si>
  <si>
    <t>M&amp;A SCREENING CONCLUSION</t>
  </si>
  <si>
    <t>Preferred Strategy</t>
  </si>
  <si>
    <t>Selective Build + Buy + Partner</t>
  </si>
  <si>
    <t>Primary Priority</t>
  </si>
  <si>
    <t>Secondary Priority</t>
  </si>
  <si>
    <t>Key Principle</t>
  </si>
  <si>
    <t>Acquire capabilities when speed, talent, or intellectual property justify the cost of buying rather than building internally.</t>
  </si>
  <si>
    <t>Conclusion</t>
  </si>
  <si>
    <t>Apple should not pursue acquisitions simply to expand its portfolio. Corporate development should focus on targeted transactions that provide capabilities Apple cannot efficiently develop internally, while partnerships and internal investment remain preferable where Apple already has strong capabilities.</t>
  </si>
  <si>
    <t>Apple's relatively high P/E indicates that investors are paying a premium for its earnings, reflecting expectations for continued profitability and growth.</t>
  </si>
  <si>
    <t>Operating income for the comparable FY2026 YTD period is not included in the current model; operating margin therefore cannot be calculated reliably.</t>
  </si>
  <si>
    <t>Growth accelerated, with FY2026 YTD revenue increasing faster than FY2025.</t>
  </si>
  <si>
    <t>Net income growth accelerated significantly, indicating stronger earnings growth than revenue.</t>
  </si>
  <si>
    <t>Gross margin improved, suggesting stronger profitability on each dollar of revenue.</t>
  </si>
  <si>
    <t>Operating margin improved from FY2024 to FY2025, indicating stronger operating profitability.</t>
  </si>
  <si>
    <t>Services growth accelerated substantially, highlighting Services as an important growth driver.</t>
  </si>
  <si>
    <t>FY2025 free cash flow declined from FY2024, but FY2026 YTD already exceeds FY2025 full-year FCF.</t>
  </si>
  <si>
    <t>FCF margin declined in FY2025 but increased sharply in FY2026 YTD, indicating stronger cash generation relative to revenue.</t>
  </si>
  <si>
    <t>Change (24-25)</t>
  </si>
  <si>
    <t>TTM free cash flow is required for a comparable FCF yield; current model contains YTD FCF only.</t>
  </si>
  <si>
    <t>APPLE INC. - KEY ANALYSIS CHARTS</t>
  </si>
  <si>
    <t>APPLE INC. - SOURCES</t>
  </si>
  <si>
    <t>Source</t>
  </si>
  <si>
    <t>Report/Article Title</t>
  </si>
  <si>
    <t>Date Accessed</t>
  </si>
  <si>
    <t>Used For</t>
  </si>
  <si>
    <t>Apple Inc.</t>
  </si>
  <si>
    <t>Apple Reports Third Quarter Results</t>
  </si>
  <si>
    <t>FY2025 Q3 Consolidated Financial Statements</t>
  </si>
  <si>
    <t>July, 2025</t>
  </si>
  <si>
    <t>Comparable FY2025 YTD</t>
  </si>
  <si>
    <t>Apple Annual Report / Form 10-K</t>
  </si>
  <si>
    <t>FY2024 and FY2025 annual</t>
  </si>
  <si>
    <t>Apple Investor Relations</t>
  </si>
  <si>
    <t>Ongoing</t>
  </si>
  <si>
    <t>Investor information and financial reporting reference</t>
  </si>
  <si>
    <t>Apple Intelligence Brings Powerful AI Capabilities into everyday experiences</t>
  </si>
  <si>
    <t>AI Strategy, Apple Intelligence, Siri, and AI architecture</t>
  </si>
  <si>
    <t>WWDC26: Apple Unveils Next Generation of Apple Intelligence, Siri Ai, and more</t>
  </si>
  <si>
    <t>Strategic AI opportunity and product ecosystem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</si>
</sst>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84" formatCode="0.0%"/>
    <numFmt numFmtId="186" formatCode="[$-409]mmmm\ d\,\ yyyy;@"/>
  </numFmts>
  <fonts count="9">
    <font>
      <sz val="11"/>
      <color theme="1"/>
      <name val="Aptos Narrow"/>
      <family val="2"/>
      <scheme val="minor"/>
    </font>
    <font>
      <sz val="11"/>
      <color theme="1"/>
      <name val="Aptos Narrow"/>
      <family val="2"/>
      <scheme val="minor"/>
    </font>
    <font>
      <b/>
      <sz val="11"/>
      <color theme="1"/>
      <name val="Aptos Narrow"/>
      <family val="2"/>
      <scheme val="minor"/>
    </font>
    <font>
      <b/>
      <sz val="16"/>
      <color theme="1"/>
      <name val="Aptos Narrow"/>
      <family val="2"/>
      <scheme val="minor"/>
    </font>
    <font>
      <b/>
      <sz val="11"/>
      <color theme="1"/>
      <name val="Aptos"/>
      <family val="2"/>
    </font>
    <font>
      <sz val="11"/>
      <color theme="1"/>
      <name val="Aptos"/>
      <family val="2"/>
    </font>
    <font>
      <b/>
      <sz val="16"/>
      <color theme="1"/>
      <name val="Aptos"/>
      <family val="2"/>
    </font>
    <font>
      <sz val="16"/>
      <color theme="1"/>
      <name val="Aptos Narrow"/>
      <family val="2"/>
      <scheme val="minor"/>
    </font>
    <font>
      <sz val="10"/>
      <color theme="1"/>
      <name val="Arial Unicode MS"/>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3" fillId="0" borderId="0" xfId="0" applyFont="1" applyAlignment="1">
      <alignment horizontal="center"/>
    </xf>
    <xf numFmtId="0" fontId="2" fillId="0" borderId="0" xfId="0" applyFont="1"/>
    <xf numFmtId="0" fontId="5" fillId="0" borderId="0" xfId="0" applyFont="1"/>
    <xf numFmtId="0" fontId="4" fillId="0" borderId="0" xfId="0" applyFont="1"/>
    <xf numFmtId="0" fontId="6" fillId="0" borderId="0" xfId="0" applyFont="1" applyAlignment="1">
      <alignment horizontal="center"/>
    </xf>
    <xf numFmtId="10" fontId="5" fillId="0" borderId="0" xfId="0" applyNumberFormat="1" applyFont="1"/>
    <xf numFmtId="10" fontId="0" fillId="0" borderId="0" xfId="0" applyNumberFormat="1"/>
    <xf numFmtId="10" fontId="0" fillId="0" borderId="0" xfId="0" applyNumberFormat="1" applyFont="1"/>
    <xf numFmtId="184" fontId="0" fillId="0" borderId="0" xfId="1" applyNumberFormat="1" applyFont="1"/>
    <xf numFmtId="184" fontId="0" fillId="0" borderId="0" xfId="0" applyNumberFormat="1"/>
    <xf numFmtId="0" fontId="0" fillId="0" borderId="0" xfId="0" applyAlignment="1">
      <alignment wrapText="1"/>
    </xf>
    <xf numFmtId="186" fontId="0" fillId="0" borderId="0" xfId="0" applyNumberFormat="1"/>
    <xf numFmtId="0" fontId="0" fillId="0" borderId="0" xfId="0" applyAlignment="1">
      <alignment horizontal="right"/>
    </xf>
    <xf numFmtId="0" fontId="7" fillId="0" borderId="0" xfId="0" applyFont="1" applyAlignment="1">
      <alignment horizontal="center"/>
    </xf>
    <xf numFmtId="0" fontId="8" fillId="0" borderId="0" xfId="0" applyFont="1" applyAlignment="1">
      <alignment wrapText="1"/>
    </xf>
    <xf numFmtId="0" fontId="0" fillId="0" borderId="1" xfId="0" applyBorder="1"/>
    <xf numFmtId="0" fontId="2" fillId="0" borderId="1" xfId="0" applyFont="1" applyBorder="1"/>
    <xf numFmtId="0" fontId="0" fillId="0" borderId="1" xfId="0" applyBorder="1" applyAlignment="1">
      <alignment wrapText="1"/>
    </xf>
    <xf numFmtId="0" fontId="2" fillId="0" borderId="0" xfId="0" applyFont="1" applyFill="1" applyBorder="1"/>
    <xf numFmtId="0" fontId="2" fillId="0" borderId="1" xfId="0" applyFont="1" applyFill="1" applyBorder="1"/>
    <xf numFmtId="0" fontId="0" fillId="0" borderId="1" xfId="0" applyBorder="1" applyAlignment="1">
      <alignment horizontal="left" vertical="center" wrapText="1" indent="1"/>
    </xf>
    <xf numFmtId="0" fontId="0" fillId="0" borderId="0" xfId="0" applyFont="1" applyAlignment="1">
      <alignment horizontal="left" vertical="center" wrapText="1"/>
    </xf>
    <xf numFmtId="3" fontId="0" fillId="0" borderId="0" xfId="0" applyNumberFormat="1"/>
    <xf numFmtId="186" fontId="0" fillId="0" borderId="1" xfId="0" applyNumberFormat="1" applyBorder="1"/>
    <xf numFmtId="186" fontId="0" fillId="0" borderId="1" xfId="0" applyNumberFormat="1" applyBorder="1" applyAlignment="1">
      <alignment horizontal="right"/>
    </xf>
    <xf numFmtId="0" fontId="0" fillId="0" borderId="1" xfId="0" applyNumberFormat="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M&amp;A Capability Attractiveness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'M&amp;A Analysis'!$A$4:$A$8</c:f>
              <c:strCache>
                <c:ptCount val="5"/>
                <c:pt idx="0">
                  <c:v>AI / Machine Learning</c:v>
                </c:pt>
                <c:pt idx="1">
                  <c:v>Health Technology</c:v>
                </c:pt>
                <c:pt idx="2">
                  <c:v>Semiconductor / Chip Technology</c:v>
                </c:pt>
                <c:pt idx="3">
                  <c:v>Robotics / Automation</c:v>
                </c:pt>
                <c:pt idx="4">
                  <c:v>Content / Media Technology</c:v>
                </c:pt>
              </c:strCache>
            </c:strRef>
          </c:cat>
          <c:val>
            <c:numRef>
              <c:f>'M&amp;A Analysis'!$H$4:$H$8</c:f>
              <c:numCache>
                <c:formatCode>General</c:formatCode>
                <c:ptCount val="5"/>
                <c:pt idx="0">
                  <c:v>7.4</c:v>
                </c:pt>
                <c:pt idx="1">
                  <c:v>7.2</c:v>
                </c:pt>
                <c:pt idx="2">
                  <c:v>7.4</c:v>
                </c:pt>
                <c:pt idx="3">
                  <c:v>6.6</c:v>
                </c:pt>
                <c:pt idx="4">
                  <c:v>6.2</c:v>
                </c:pt>
              </c:numCache>
            </c:numRef>
          </c:val>
          <c:extLst>
            <c:ext xmlns:c16="http://schemas.microsoft.com/office/drawing/2014/chart" uri="{C3380CC4-5D6E-409C-BE32-E72D297353CC}">
              <c16:uniqueId val="{00000000-E20F-4353-A249-68354D30DB95}"/>
            </c:ext>
          </c:extLst>
        </c:ser>
        <c:dLbls>
          <c:dLblPos val="outEnd"/>
          <c:showLegendKey val="0"/>
          <c:showVal val="1"/>
          <c:showCatName val="0"/>
          <c:showSerName val="0"/>
          <c:showPercent val="0"/>
          <c:showBubbleSize val="0"/>
        </c:dLbls>
        <c:gapWidth val="182"/>
        <c:axId val="1706631327"/>
        <c:axId val="1914589983"/>
      </c:barChart>
      <c:catAx>
        <c:axId val="17066313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Capability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589983"/>
        <c:crosses val="autoZero"/>
        <c:auto val="1"/>
        <c:lblAlgn val="ctr"/>
        <c:lblOffset val="100"/>
        <c:noMultiLvlLbl val="0"/>
      </c:catAx>
      <c:valAx>
        <c:axId val="19145899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Strategic Attractiveness 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63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Apple Revenue &amp; Net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Revenue</c:v>
          </c:tx>
          <c:spPr>
            <a:ln w="28575" cap="rnd">
              <a:solidFill>
                <a:schemeClr val="accent1"/>
              </a:solidFill>
              <a:round/>
            </a:ln>
            <a:effectLst/>
          </c:spPr>
          <c:marker>
            <c:symbol val="none"/>
          </c:marker>
          <c:cat>
            <c:strRef>
              <c:f>Financials!$B$3:$D$3</c:f>
              <c:strCache>
                <c:ptCount val="3"/>
                <c:pt idx="0">
                  <c:v>FY2024</c:v>
                </c:pt>
                <c:pt idx="1">
                  <c:v>FY2025</c:v>
                </c:pt>
                <c:pt idx="2">
                  <c:v>FY2026 YTD</c:v>
                </c:pt>
              </c:strCache>
            </c:strRef>
          </c:cat>
          <c:val>
            <c:numRef>
              <c:f>Financials!$B$4:$D$4</c:f>
              <c:numCache>
                <c:formatCode>General</c:formatCode>
                <c:ptCount val="3"/>
                <c:pt idx="0">
                  <c:v>391035</c:v>
                </c:pt>
                <c:pt idx="1">
                  <c:v>416161</c:v>
                </c:pt>
                <c:pt idx="2">
                  <c:v>328032</c:v>
                </c:pt>
              </c:numCache>
            </c:numRef>
          </c:val>
          <c:smooth val="0"/>
          <c:extLst>
            <c:ext xmlns:c16="http://schemas.microsoft.com/office/drawing/2014/chart" uri="{C3380CC4-5D6E-409C-BE32-E72D297353CC}">
              <c16:uniqueId val="{00000000-8B8E-44C5-BB66-C6BAA7561935}"/>
            </c:ext>
          </c:extLst>
        </c:ser>
        <c:ser>
          <c:idx val="1"/>
          <c:order val="1"/>
          <c:tx>
            <c:v>Net Income</c:v>
          </c:tx>
          <c:spPr>
            <a:ln w="28575" cap="rnd">
              <a:solidFill>
                <a:schemeClr val="accent2"/>
              </a:solidFill>
              <a:round/>
            </a:ln>
            <a:effectLst/>
          </c:spPr>
          <c:marker>
            <c:symbol val="none"/>
          </c:marker>
          <c:cat>
            <c:strRef>
              <c:f>Financials!$B$3:$D$3</c:f>
              <c:strCache>
                <c:ptCount val="3"/>
                <c:pt idx="0">
                  <c:v>FY2024</c:v>
                </c:pt>
                <c:pt idx="1">
                  <c:v>FY2025</c:v>
                </c:pt>
                <c:pt idx="2">
                  <c:v>FY2026 YTD</c:v>
                </c:pt>
              </c:strCache>
            </c:strRef>
          </c:cat>
          <c:val>
            <c:numRef>
              <c:f>Financials!$B$5:$D$5</c:f>
              <c:numCache>
                <c:formatCode>General</c:formatCode>
                <c:ptCount val="3"/>
                <c:pt idx="0">
                  <c:v>93736</c:v>
                </c:pt>
                <c:pt idx="1">
                  <c:v>112010</c:v>
                </c:pt>
                <c:pt idx="2">
                  <c:v>101464</c:v>
                </c:pt>
              </c:numCache>
            </c:numRef>
          </c:val>
          <c:smooth val="0"/>
          <c:extLst>
            <c:ext xmlns:c16="http://schemas.microsoft.com/office/drawing/2014/chart" uri="{C3380CC4-5D6E-409C-BE32-E72D297353CC}">
              <c16:uniqueId val="{00000001-8B8E-44C5-BB66-C6BAA7561935}"/>
            </c:ext>
          </c:extLst>
        </c:ser>
        <c:dLbls>
          <c:showLegendKey val="0"/>
          <c:showVal val="0"/>
          <c:showCatName val="0"/>
          <c:showSerName val="0"/>
          <c:showPercent val="0"/>
          <c:showBubbleSize val="0"/>
        </c:dLbls>
        <c:smooth val="0"/>
        <c:axId val="1797832399"/>
        <c:axId val="1520140799"/>
      </c:lineChart>
      <c:catAx>
        <c:axId val="1797832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Fiscal Period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140799"/>
        <c:crosses val="autoZero"/>
        <c:auto val="1"/>
        <c:lblAlgn val="ctr"/>
        <c:lblOffset val="100"/>
        <c:noMultiLvlLbl val="0"/>
      </c:catAx>
      <c:valAx>
        <c:axId val="1520140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832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Apple Free Cash Flow by Fiscal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(Financials!$B$3,Financials!$C$3,Financials!$D$3)</c:f>
              <c:strCache>
                <c:ptCount val="3"/>
                <c:pt idx="0">
                  <c:v>FY2024</c:v>
                </c:pt>
                <c:pt idx="1">
                  <c:v>FY2025</c:v>
                </c:pt>
                <c:pt idx="2">
                  <c:v>FY2026 YTD</c:v>
                </c:pt>
              </c:strCache>
            </c:strRef>
          </c:cat>
          <c:val>
            <c:numRef>
              <c:f>(Financials!$B$13,Financials!$C$13,Financials!$D$13)</c:f>
              <c:numCache>
                <c:formatCode>General</c:formatCode>
                <c:ptCount val="3"/>
                <c:pt idx="0">
                  <c:v>108807</c:v>
                </c:pt>
                <c:pt idx="1">
                  <c:v>98767</c:v>
                </c:pt>
                <c:pt idx="2">
                  <c:v>110197</c:v>
                </c:pt>
              </c:numCache>
            </c:numRef>
          </c:val>
          <c:extLst>
            <c:ext xmlns:c16="http://schemas.microsoft.com/office/drawing/2014/chart" uri="{C3380CC4-5D6E-409C-BE32-E72D297353CC}">
              <c16:uniqueId val="{00000000-9AF5-4C97-BFF6-7BD894B10223}"/>
            </c:ext>
          </c:extLst>
        </c:ser>
        <c:dLbls>
          <c:showLegendKey val="0"/>
          <c:showVal val="0"/>
          <c:showCatName val="0"/>
          <c:showSerName val="0"/>
          <c:showPercent val="0"/>
          <c:showBubbleSize val="0"/>
        </c:dLbls>
        <c:gapWidth val="219"/>
        <c:overlap val="-27"/>
        <c:axId val="1914664719"/>
        <c:axId val="1914579903"/>
      </c:barChart>
      <c:catAx>
        <c:axId val="19146647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Fiscal Period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579903"/>
        <c:crosses val="autoZero"/>
        <c:auto val="1"/>
        <c:lblAlgn val="ctr"/>
        <c:lblOffset val="100"/>
        <c:noMultiLvlLbl val="0"/>
      </c:catAx>
      <c:valAx>
        <c:axId val="1914579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Free Cash Flow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66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7</xdr:col>
      <xdr:colOff>314325</xdr:colOff>
      <xdr:row>16</xdr:row>
      <xdr:rowOff>66675</xdr:rowOff>
    </xdr:to>
    <xdr:graphicFrame macro="">
      <xdr:nvGraphicFramePr>
        <xdr:cNvPr id="4" name="Chart 3">
          <a:extLst>
            <a:ext uri="{FF2B5EF4-FFF2-40B4-BE49-F238E27FC236}">
              <a16:creationId xmlns:a16="http://schemas.microsoft.com/office/drawing/2014/main" id="{4337806A-B1ED-4010-8688-02F8B0800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0</xdr:rowOff>
    </xdr:from>
    <xdr:to>
      <xdr:col>7</xdr:col>
      <xdr:colOff>304800</xdr:colOff>
      <xdr:row>34</xdr:row>
      <xdr:rowOff>17145</xdr:rowOff>
    </xdr:to>
    <xdr:graphicFrame macro="">
      <xdr:nvGraphicFramePr>
        <xdr:cNvPr id="5" name="Chart 4">
          <a:extLst>
            <a:ext uri="{FF2B5EF4-FFF2-40B4-BE49-F238E27FC236}">
              <a16:creationId xmlns:a16="http://schemas.microsoft.com/office/drawing/2014/main" id="{3BA7DAF7-D545-4A69-B4BB-892463D60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36</xdr:row>
      <xdr:rowOff>0</xdr:rowOff>
    </xdr:from>
    <xdr:to>
      <xdr:col>7</xdr:col>
      <xdr:colOff>304800</xdr:colOff>
      <xdr:row>51</xdr:row>
      <xdr:rowOff>20955</xdr:rowOff>
    </xdr:to>
    <xdr:graphicFrame macro="">
      <xdr:nvGraphicFramePr>
        <xdr:cNvPr id="6" name="Chart 5">
          <a:extLst>
            <a:ext uri="{FF2B5EF4-FFF2-40B4-BE49-F238E27FC236}">
              <a16:creationId xmlns:a16="http://schemas.microsoft.com/office/drawing/2014/main" id="{624CFBE5-60A5-4A91-B6B5-F19AACDE0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85FA6-7428-43A9-838B-398EFA097FDD}">
  <dimension ref="A1:E13"/>
  <sheetViews>
    <sheetView workbookViewId="0">
      <selection activeCell="A50" sqref="A50"/>
    </sheetView>
  </sheetViews>
  <sheetFormatPr defaultRowHeight="14.4"/>
  <cols>
    <col min="1" max="1" width="28.77734375" customWidth="1"/>
    <col min="2" max="4" width="17.77734375" customWidth="1"/>
    <col min="5" max="5" width="35.77734375" customWidth="1"/>
  </cols>
  <sheetData>
    <row r="1" spans="1:5" ht="21">
      <c r="A1" s="5" t="s">
        <v>0</v>
      </c>
      <c r="B1" s="5"/>
      <c r="C1" s="5"/>
      <c r="D1" s="5"/>
      <c r="E1" s="5"/>
    </row>
    <row r="2" spans="1:5">
      <c r="A2" s="3"/>
      <c r="B2" s="3"/>
      <c r="C2" s="3"/>
      <c r="D2" s="3"/>
      <c r="E2" s="3"/>
    </row>
    <row r="3" spans="1:5">
      <c r="A3" s="4" t="s">
        <v>1</v>
      </c>
      <c r="B3" s="4" t="s">
        <v>2</v>
      </c>
      <c r="C3" s="4" t="s">
        <v>3</v>
      </c>
      <c r="D3" s="4" t="s">
        <v>15</v>
      </c>
      <c r="E3" s="4" t="s">
        <v>4</v>
      </c>
    </row>
    <row r="4" spans="1:5">
      <c r="A4" s="3" t="s">
        <v>5</v>
      </c>
      <c r="B4" s="3">
        <v>391035</v>
      </c>
      <c r="C4" s="3">
        <v>416161</v>
      </c>
      <c r="D4">
        <v>328032</v>
      </c>
      <c r="E4" s="3"/>
    </row>
    <row r="5" spans="1:5">
      <c r="A5" s="3" t="s">
        <v>6</v>
      </c>
      <c r="B5" s="3">
        <v>93736</v>
      </c>
      <c r="C5" s="3">
        <v>112010</v>
      </c>
      <c r="D5">
        <v>101464</v>
      </c>
      <c r="E5" s="3"/>
    </row>
    <row r="6" spans="1:5">
      <c r="A6" s="3" t="s">
        <v>7</v>
      </c>
      <c r="B6" s="6">
        <v>0.46210000000000001</v>
      </c>
      <c r="C6" s="6">
        <v>0.46910000000000002</v>
      </c>
      <c r="D6" s="7">
        <v>0.49059999999999998</v>
      </c>
      <c r="E6" s="3"/>
    </row>
    <row r="7" spans="1:5" ht="57.6">
      <c r="A7" s="3" t="s">
        <v>8</v>
      </c>
      <c r="B7" s="7">
        <v>0.31509999999999999</v>
      </c>
      <c r="C7" s="8">
        <v>0.32450000000000001</v>
      </c>
      <c r="D7" t="s">
        <v>22</v>
      </c>
      <c r="E7" s="11" t="s">
        <v>96</v>
      </c>
    </row>
    <row r="8" spans="1:5">
      <c r="A8" s="3" t="s">
        <v>9</v>
      </c>
      <c r="B8">
        <v>29943</v>
      </c>
      <c r="C8">
        <v>35934</v>
      </c>
      <c r="D8">
        <v>35237</v>
      </c>
      <c r="E8" s="3"/>
    </row>
    <row r="9" spans="1:5">
      <c r="A9" s="3" t="s">
        <v>10</v>
      </c>
      <c r="B9">
        <v>106629</v>
      </c>
      <c r="C9">
        <v>98657</v>
      </c>
      <c r="D9">
        <v>96965</v>
      </c>
      <c r="E9" s="3"/>
    </row>
    <row r="10" spans="1:5">
      <c r="A10" s="3" t="s">
        <v>11</v>
      </c>
      <c r="B10">
        <v>96169</v>
      </c>
      <c r="C10">
        <v>109158</v>
      </c>
      <c r="D10">
        <v>91728</v>
      </c>
      <c r="E10" s="3"/>
    </row>
    <row r="11" spans="1:5">
      <c r="A11" s="3" t="s">
        <v>12</v>
      </c>
      <c r="B11">
        <v>118254</v>
      </c>
      <c r="C11">
        <v>111482</v>
      </c>
      <c r="D11" s="3">
        <v>116996</v>
      </c>
      <c r="E11" s="3"/>
    </row>
    <row r="12" spans="1:5">
      <c r="A12" s="3" t="s">
        <v>13</v>
      </c>
      <c r="B12" s="3">
        <v>9447</v>
      </c>
      <c r="C12" s="3">
        <v>12715</v>
      </c>
      <c r="D12" s="3">
        <v>6799</v>
      </c>
      <c r="E12" s="3"/>
    </row>
    <row r="13" spans="1:5">
      <c r="A13" s="3" t="s">
        <v>14</v>
      </c>
      <c r="B13" s="3">
        <f>B11-B12</f>
        <v>108807</v>
      </c>
      <c r="C13" s="3">
        <f>C11-C12</f>
        <v>98767</v>
      </c>
      <c r="D13" s="3">
        <f>D11-D12</f>
        <v>110197</v>
      </c>
      <c r="E13" s="3"/>
    </row>
  </sheetData>
  <mergeCells count="1">
    <mergeCell ref="A1:E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E6582-B517-44CB-B448-8DC3D2EB4F01}">
  <dimension ref="A1:F10"/>
  <sheetViews>
    <sheetView workbookViewId="0">
      <selection activeCell="E17" sqref="E17"/>
    </sheetView>
  </sheetViews>
  <sheetFormatPr defaultRowHeight="14.4"/>
  <cols>
    <col min="1" max="1" width="28.77734375" customWidth="1"/>
    <col min="2" max="3" width="15.77734375" customWidth="1"/>
    <col min="4" max="4" width="17.77734375" customWidth="1"/>
    <col min="5" max="5" width="15.77734375" customWidth="1"/>
    <col min="6" max="6" width="55.77734375" customWidth="1"/>
  </cols>
  <sheetData>
    <row r="1" spans="1:6" ht="21">
      <c r="A1" s="1" t="s">
        <v>16</v>
      </c>
      <c r="B1" s="1"/>
      <c r="C1" s="1"/>
      <c r="D1" s="1"/>
      <c r="E1" s="1"/>
      <c r="F1" s="1"/>
    </row>
    <row r="3" spans="1:6">
      <c r="A3" s="2" t="s">
        <v>1</v>
      </c>
      <c r="B3" s="2" t="s">
        <v>2</v>
      </c>
      <c r="C3" s="2" t="s">
        <v>3</v>
      </c>
      <c r="D3" s="2" t="s">
        <v>15</v>
      </c>
      <c r="E3" s="2" t="s">
        <v>104</v>
      </c>
      <c r="F3" s="2" t="s">
        <v>17</v>
      </c>
    </row>
    <row r="4" spans="1:6" ht="28.8">
      <c r="A4" t="s">
        <v>18</v>
      </c>
      <c r="B4" t="s">
        <v>22</v>
      </c>
      <c r="C4" s="9">
        <f>(Financials!C4/Financials!B4)-1</f>
        <v>6.425511782832749E-2</v>
      </c>
      <c r="D4" s="7">
        <v>0.10780000000000001</v>
      </c>
      <c r="E4" s="10">
        <f>C4</f>
        <v>6.425511782832749E-2</v>
      </c>
      <c r="F4" s="11" t="s">
        <v>97</v>
      </c>
    </row>
    <row r="5" spans="1:6" ht="28.8">
      <c r="A5" t="s">
        <v>19</v>
      </c>
      <c r="B5" t="s">
        <v>22</v>
      </c>
      <c r="C5" s="9">
        <f>(Financials!C5/Financials!B5)-1</f>
        <v>0.19495177946573361</v>
      </c>
      <c r="D5" s="7">
        <v>0.28439999999999999</v>
      </c>
      <c r="E5" s="10">
        <f>C5</f>
        <v>0.19495177946573361</v>
      </c>
      <c r="F5" s="11" t="s">
        <v>98</v>
      </c>
    </row>
    <row r="6" spans="1:6" ht="28.8">
      <c r="A6" t="s">
        <v>7</v>
      </c>
      <c r="B6" s="7">
        <f>Financials!B6</f>
        <v>0.46210000000000001</v>
      </c>
      <c r="C6" s="7">
        <f>Financials!C6</f>
        <v>0.46910000000000002</v>
      </c>
      <c r="D6" s="7">
        <v>0.49059999999999998</v>
      </c>
      <c r="E6" s="7">
        <f>C6-B6</f>
        <v>7.0000000000000062E-3</v>
      </c>
      <c r="F6" s="11" t="s">
        <v>99</v>
      </c>
    </row>
    <row r="7" spans="1:6" ht="28.8">
      <c r="A7" t="s">
        <v>8</v>
      </c>
      <c r="B7" s="7">
        <f>Financials!B7</f>
        <v>0.31509999999999999</v>
      </c>
      <c r="C7" s="7">
        <f>Financials!C7</f>
        <v>0.32450000000000001</v>
      </c>
      <c r="D7" t="s">
        <v>22</v>
      </c>
      <c r="E7" s="7">
        <f>C7-B7</f>
        <v>9.4000000000000195E-3</v>
      </c>
      <c r="F7" s="11" t="s">
        <v>100</v>
      </c>
    </row>
    <row r="8" spans="1:6" ht="28.8">
      <c r="A8" t="s">
        <v>20</v>
      </c>
      <c r="B8" t="s">
        <v>22</v>
      </c>
      <c r="C8" s="9">
        <f>(Financials!C10/Financials!B10)-1</f>
        <v>0.13506431386413498</v>
      </c>
      <c r="D8" s="7">
        <v>0.28839999999999999</v>
      </c>
      <c r="E8" s="10">
        <f>C8</f>
        <v>0.13506431386413498</v>
      </c>
      <c r="F8" s="11" t="s">
        <v>101</v>
      </c>
    </row>
    <row r="9" spans="1:6" ht="28.8">
      <c r="A9" t="s">
        <v>14</v>
      </c>
      <c r="B9">
        <f>Financials!B13</f>
        <v>108807</v>
      </c>
      <c r="C9">
        <f>Financials!C13</f>
        <v>98767</v>
      </c>
      <c r="D9" s="23">
        <v>110197</v>
      </c>
      <c r="E9">
        <f>C9-B9</f>
        <v>-10040</v>
      </c>
      <c r="F9" s="11" t="s">
        <v>102</v>
      </c>
    </row>
    <row r="10" spans="1:6" ht="30.6" customHeight="1">
      <c r="A10" t="s">
        <v>21</v>
      </c>
      <c r="B10" s="9">
        <f>B9/Financials!B4</f>
        <v>0.27825386474356517</v>
      </c>
      <c r="C10" s="9">
        <f>C9/Financials!C4</f>
        <v>0.23732882225869315</v>
      </c>
      <c r="D10" s="7">
        <v>0.33589999999999998</v>
      </c>
      <c r="E10" s="10">
        <f>C10-B10</f>
        <v>-4.0925042484872026E-2</v>
      </c>
      <c r="F10" s="11" t="s">
        <v>103</v>
      </c>
    </row>
  </sheetData>
  <mergeCells count="1">
    <mergeCell ref="A1:F1"/>
  </mergeCells>
  <pageMargins left="0.7" right="0.7" top="0.75" bottom="0.75" header="0.3" footer="0.3"/>
  <pageSetup orientation="portrait" r:id="rId1"/>
  <ignoredErrors>
    <ignoredError sqref="E8"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17538-A7F9-4D46-8857-0C476BA81DD2}">
  <dimension ref="A1:D9"/>
  <sheetViews>
    <sheetView workbookViewId="0">
      <selection activeCell="B8" sqref="B8"/>
    </sheetView>
  </sheetViews>
  <sheetFormatPr defaultRowHeight="14.4"/>
  <cols>
    <col min="1" max="1" width="28.77734375" customWidth="1"/>
    <col min="2" max="2" width="18.77734375" customWidth="1"/>
    <col min="3" max="3" width="19.88671875" customWidth="1"/>
    <col min="4" max="4" width="55.77734375" customWidth="1"/>
  </cols>
  <sheetData>
    <row r="1" spans="1:4" ht="21">
      <c r="A1" s="1" t="s">
        <v>26</v>
      </c>
      <c r="B1" s="1"/>
      <c r="C1" s="1"/>
      <c r="D1" s="1"/>
    </row>
    <row r="3" spans="1:4">
      <c r="A3" t="s">
        <v>1</v>
      </c>
      <c r="B3" t="s">
        <v>23</v>
      </c>
      <c r="C3" t="s">
        <v>24</v>
      </c>
      <c r="D3" t="s">
        <v>25</v>
      </c>
    </row>
    <row r="4" spans="1:4" ht="43.2">
      <c r="A4" t="s">
        <v>27</v>
      </c>
      <c r="B4">
        <v>4411000</v>
      </c>
      <c r="C4" s="12">
        <v>46246</v>
      </c>
      <c r="D4" s="11" t="s">
        <v>32</v>
      </c>
    </row>
    <row r="5" spans="1:4" ht="28.8">
      <c r="A5" t="s">
        <v>28</v>
      </c>
      <c r="B5">
        <f>B4+Financials!C9-Financials!C8</f>
        <v>4473723</v>
      </c>
      <c r="C5" s="12">
        <v>46246</v>
      </c>
      <c r="D5" s="11" t="s">
        <v>33</v>
      </c>
    </row>
    <row r="6" spans="1:4" ht="43.2">
      <c r="A6" t="s">
        <v>29</v>
      </c>
      <c r="B6">
        <v>34</v>
      </c>
      <c r="C6" s="12">
        <v>46246</v>
      </c>
      <c r="D6" s="22" t="s">
        <v>95</v>
      </c>
    </row>
    <row r="7" spans="1:4" ht="43.2">
      <c r="A7" t="s">
        <v>18</v>
      </c>
      <c r="B7" s="9">
        <f>Calculations!C4</f>
        <v>6.425511782832749E-2</v>
      </c>
      <c r="C7" s="12">
        <v>46246</v>
      </c>
      <c r="D7" s="11" t="s">
        <v>34</v>
      </c>
    </row>
    <row r="8" spans="1:4">
      <c r="A8" t="s">
        <v>30</v>
      </c>
      <c r="B8" t="s">
        <v>22</v>
      </c>
      <c r="C8" s="12">
        <v>46246</v>
      </c>
      <c r="D8" t="s">
        <v>105</v>
      </c>
    </row>
    <row r="9" spans="1:4" ht="43.2">
      <c r="A9" t="s">
        <v>31</v>
      </c>
      <c r="B9" s="13" t="s">
        <v>36</v>
      </c>
      <c r="C9" s="12">
        <v>46246</v>
      </c>
      <c r="D9" s="11" t="s">
        <v>35</v>
      </c>
    </row>
  </sheetData>
  <mergeCells count="1">
    <mergeCell ref="A1:D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2EDB8-B590-4277-AD13-D5244565911A}">
  <dimension ref="A1:H40"/>
  <sheetViews>
    <sheetView workbookViewId="0">
      <selection activeCell="F24" sqref="F24"/>
    </sheetView>
  </sheetViews>
  <sheetFormatPr defaultRowHeight="14.4"/>
  <cols>
    <col min="1" max="1" width="30.77734375" customWidth="1"/>
    <col min="2" max="2" width="29.44140625" customWidth="1"/>
    <col min="3" max="3" width="18.77734375" customWidth="1"/>
    <col min="4" max="4" width="20.77734375" customWidth="1"/>
    <col min="5" max="5" width="18.77734375" customWidth="1"/>
    <col min="6" max="6" width="28.77734375" customWidth="1"/>
    <col min="7" max="7" width="18.77734375" customWidth="1"/>
    <col min="8" max="8" width="12.77734375" customWidth="1"/>
  </cols>
  <sheetData>
    <row r="1" spans="1:8" ht="21">
      <c r="A1" s="1" t="s">
        <v>37</v>
      </c>
      <c r="B1" s="14"/>
      <c r="C1" s="14"/>
      <c r="D1" s="14"/>
      <c r="E1" s="14"/>
      <c r="F1" s="14"/>
      <c r="G1" s="14"/>
    </row>
    <row r="3" spans="1:8">
      <c r="A3" s="17" t="s">
        <v>38</v>
      </c>
      <c r="B3" s="17" t="s">
        <v>39</v>
      </c>
      <c r="C3" s="17" t="s">
        <v>40</v>
      </c>
      <c r="D3" s="17" t="s">
        <v>41</v>
      </c>
      <c r="E3" s="17" t="s">
        <v>42</v>
      </c>
      <c r="F3" s="17" t="s">
        <v>44</v>
      </c>
      <c r="G3" s="17" t="s">
        <v>58</v>
      </c>
      <c r="H3" s="17" t="s">
        <v>59</v>
      </c>
    </row>
    <row r="4" spans="1:8">
      <c r="A4" t="s">
        <v>43</v>
      </c>
      <c r="B4">
        <v>9</v>
      </c>
      <c r="C4">
        <v>9</v>
      </c>
      <c r="D4">
        <v>8</v>
      </c>
      <c r="E4">
        <v>6</v>
      </c>
      <c r="F4">
        <v>5</v>
      </c>
      <c r="G4" t="str">
        <f>IF(H4&gt;=8.5,"Very High",IF(H4&gt;=7,"High",IF(H4&gt;=5,"Moderate",IF(H4&gt;=3,"Low","Very Low"))))</f>
        <v>High</v>
      </c>
      <c r="H4">
        <f>AVERAGE(B4:F4)</f>
        <v>7.4</v>
      </c>
    </row>
    <row r="5" spans="1:8">
      <c r="A5" t="s">
        <v>60</v>
      </c>
      <c r="B5">
        <v>8</v>
      </c>
      <c r="C5">
        <v>8</v>
      </c>
      <c r="D5">
        <v>8</v>
      </c>
      <c r="E5">
        <v>6</v>
      </c>
      <c r="F5">
        <v>6</v>
      </c>
      <c r="G5" t="str">
        <f t="shared" ref="G5:G8" si="0">IF(H5&gt;=8.5,"Very High",IF(H5&gt;=7,"High",IF(H5&gt;=5,"Moderate",IF(H5&gt;=3,"Low","Very Low"))))</f>
        <v>High</v>
      </c>
      <c r="H5">
        <f t="shared" ref="H5:H8" si="1">AVERAGE(B5:F5)</f>
        <v>7.2</v>
      </c>
    </row>
    <row r="6" spans="1:8">
      <c r="A6" t="s">
        <v>61</v>
      </c>
      <c r="B6">
        <v>9</v>
      </c>
      <c r="C6">
        <v>7</v>
      </c>
      <c r="D6">
        <v>9</v>
      </c>
      <c r="E6">
        <v>7</v>
      </c>
      <c r="F6">
        <v>5</v>
      </c>
      <c r="G6" t="str">
        <f t="shared" si="0"/>
        <v>High</v>
      </c>
      <c r="H6">
        <f t="shared" si="1"/>
        <v>7.4</v>
      </c>
    </row>
    <row r="7" spans="1:8">
      <c r="A7" t="s">
        <v>62</v>
      </c>
      <c r="B7">
        <v>7</v>
      </c>
      <c r="C7">
        <v>8</v>
      </c>
      <c r="D7">
        <v>8</v>
      </c>
      <c r="E7">
        <v>5</v>
      </c>
      <c r="F7">
        <v>5</v>
      </c>
      <c r="G7" t="str">
        <f t="shared" si="0"/>
        <v>Moderate</v>
      </c>
      <c r="H7">
        <f t="shared" si="1"/>
        <v>6.6</v>
      </c>
    </row>
    <row r="8" spans="1:8">
      <c r="A8" t="s">
        <v>63</v>
      </c>
      <c r="B8">
        <v>6</v>
      </c>
      <c r="C8">
        <v>5</v>
      </c>
      <c r="D8">
        <v>6</v>
      </c>
      <c r="E8">
        <v>7</v>
      </c>
      <c r="F8">
        <v>7</v>
      </c>
      <c r="G8" t="str">
        <f t="shared" si="0"/>
        <v>Moderate</v>
      </c>
      <c r="H8">
        <f t="shared" si="1"/>
        <v>6.2</v>
      </c>
    </row>
    <row r="10" spans="1:8">
      <c r="A10" s="17" t="s">
        <v>45</v>
      </c>
      <c r="B10" s="16"/>
    </row>
    <row r="11" spans="1:8">
      <c r="A11" s="16" t="s">
        <v>46</v>
      </c>
      <c r="B11" s="16" t="s">
        <v>47</v>
      </c>
    </row>
    <row r="12" spans="1:8">
      <c r="A12" s="16" t="s">
        <v>48</v>
      </c>
      <c r="B12" s="16" t="s">
        <v>49</v>
      </c>
    </row>
    <row r="13" spans="1:8">
      <c r="A13" s="16" t="s">
        <v>50</v>
      </c>
      <c r="B13" s="16" t="s">
        <v>51</v>
      </c>
    </row>
    <row r="14" spans="1:8">
      <c r="A14" s="16" t="s">
        <v>52</v>
      </c>
      <c r="B14" s="16" t="s">
        <v>53</v>
      </c>
    </row>
    <row r="15" spans="1:8">
      <c r="A15" s="16" t="s">
        <v>54</v>
      </c>
      <c r="B15" s="16" t="s">
        <v>55</v>
      </c>
    </row>
    <row r="17" spans="1:6">
      <c r="A17" s="2" t="s">
        <v>56</v>
      </c>
    </row>
    <row r="18" spans="1:6" ht="109.2" customHeight="1">
      <c r="A18" s="15" t="s">
        <v>57</v>
      </c>
    </row>
    <row r="20" spans="1:6">
      <c r="A20" s="17" t="s">
        <v>64</v>
      </c>
      <c r="B20" s="16"/>
    </row>
    <row r="21" spans="1:6">
      <c r="A21" s="17" t="s">
        <v>65</v>
      </c>
      <c r="B21" s="16" t="str">
        <f>INDEX(A4:A8,MATCH(MAX(H4:H8),H4:H8,0))</f>
        <v>AI / Machine Learning</v>
      </c>
    </row>
    <row r="22" spans="1:6">
      <c r="A22" s="17" t="s">
        <v>66</v>
      </c>
      <c r="B22" s="16">
        <f>MAX(H4:H8)</f>
        <v>7.4</v>
      </c>
    </row>
    <row r="23" spans="1:6">
      <c r="A23" s="17" t="s">
        <v>67</v>
      </c>
      <c r="B23" s="16" t="s">
        <v>68</v>
      </c>
    </row>
    <row r="24" spans="1:6" ht="342.6" customHeight="1">
      <c r="A24" s="17" t="s">
        <v>69</v>
      </c>
      <c r="B24" s="18" t="s">
        <v>70</v>
      </c>
    </row>
    <row r="27" spans="1:6">
      <c r="A27" s="19" t="s">
        <v>71</v>
      </c>
    </row>
    <row r="28" spans="1:6">
      <c r="A28" s="20" t="s">
        <v>72</v>
      </c>
      <c r="B28" s="17" t="s">
        <v>73</v>
      </c>
      <c r="C28" s="16" t="s">
        <v>74</v>
      </c>
      <c r="D28" s="16" t="s">
        <v>75</v>
      </c>
      <c r="E28" s="16" t="s">
        <v>76</v>
      </c>
      <c r="F28" s="16" t="s">
        <v>69</v>
      </c>
    </row>
    <row r="29" spans="1:6" ht="115.2">
      <c r="A29" s="20" t="s">
        <v>77</v>
      </c>
      <c r="B29" s="16" t="s">
        <v>48</v>
      </c>
      <c r="C29" s="16" t="s">
        <v>48</v>
      </c>
      <c r="D29" s="16" t="s">
        <v>48</v>
      </c>
      <c r="E29" s="16" t="s">
        <v>78</v>
      </c>
      <c r="F29" s="18" t="s">
        <v>79</v>
      </c>
    </row>
    <row r="30" spans="1:6" ht="115.2" customHeight="1">
      <c r="A30" s="17" t="s">
        <v>60</v>
      </c>
      <c r="B30" s="16" t="s">
        <v>48</v>
      </c>
      <c r="C30" s="16" t="s">
        <v>50</v>
      </c>
      <c r="D30" s="16" t="s">
        <v>48</v>
      </c>
      <c r="E30" s="16" t="s">
        <v>78</v>
      </c>
      <c r="F30" s="21" t="s">
        <v>80</v>
      </c>
    </row>
    <row r="31" spans="1:6" ht="100.8">
      <c r="A31" s="17" t="s">
        <v>61</v>
      </c>
      <c r="B31" s="16" t="s">
        <v>48</v>
      </c>
      <c r="C31" s="16" t="s">
        <v>48</v>
      </c>
      <c r="D31" s="16" t="s">
        <v>48</v>
      </c>
      <c r="E31" s="16" t="s">
        <v>81</v>
      </c>
      <c r="F31" s="18" t="s">
        <v>82</v>
      </c>
    </row>
    <row r="32" spans="1:6" ht="129.6" customHeight="1">
      <c r="A32" s="17" t="s">
        <v>62</v>
      </c>
      <c r="B32" s="16" t="s">
        <v>50</v>
      </c>
      <c r="C32" s="16" t="s">
        <v>48</v>
      </c>
      <c r="D32" s="16" t="s">
        <v>48</v>
      </c>
      <c r="E32" s="16" t="s">
        <v>83</v>
      </c>
      <c r="F32" s="21" t="s">
        <v>84</v>
      </c>
    </row>
    <row r="33" spans="1:6" ht="100.8">
      <c r="A33" s="17" t="s">
        <v>63</v>
      </c>
      <c r="B33" s="16" t="s">
        <v>48</v>
      </c>
      <c r="C33" s="16" t="s">
        <v>50</v>
      </c>
      <c r="D33" s="16" t="s">
        <v>48</v>
      </c>
      <c r="E33" s="16" t="s">
        <v>78</v>
      </c>
      <c r="F33" s="18" t="s">
        <v>85</v>
      </c>
    </row>
    <row r="35" spans="1:6">
      <c r="A35" s="17" t="s">
        <v>86</v>
      </c>
      <c r="B35" s="16"/>
    </row>
    <row r="36" spans="1:6">
      <c r="A36" s="17" t="s">
        <v>87</v>
      </c>
      <c r="B36" s="17" t="s">
        <v>88</v>
      </c>
    </row>
    <row r="37" spans="1:6">
      <c r="A37" s="17" t="s">
        <v>89</v>
      </c>
      <c r="B37" s="16" t="s">
        <v>43</v>
      </c>
    </row>
    <row r="38" spans="1:6">
      <c r="A38" s="17" t="s">
        <v>90</v>
      </c>
      <c r="B38" s="16" t="s">
        <v>61</v>
      </c>
    </row>
    <row r="39" spans="1:6" ht="57.6">
      <c r="A39" s="17" t="s">
        <v>91</v>
      </c>
      <c r="B39" s="18" t="s">
        <v>92</v>
      </c>
    </row>
    <row r="40" spans="1:6" ht="158.4">
      <c r="A40" s="17" t="s">
        <v>93</v>
      </c>
      <c r="B40" s="18" t="s">
        <v>94</v>
      </c>
    </row>
  </sheetData>
  <mergeCells count="1">
    <mergeCell ref="A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89445-04F9-4C0B-BF3C-B5A0BFC967B3}">
  <dimension ref="A1:H1"/>
  <sheetViews>
    <sheetView tabSelected="1" workbookViewId="0">
      <selection activeCell="H25" sqref="H25"/>
    </sheetView>
  </sheetViews>
  <sheetFormatPr defaultRowHeight="14.4"/>
  <sheetData>
    <row r="1" spans="1:8" ht="21">
      <c r="A1" s="1" t="s">
        <v>106</v>
      </c>
      <c r="B1" s="1"/>
      <c r="C1" s="1"/>
      <c r="D1" s="1"/>
      <c r="E1" s="1"/>
      <c r="F1" s="1"/>
      <c r="G1" s="1"/>
      <c r="H1" s="1"/>
    </row>
  </sheetData>
  <mergeCells count="1">
    <mergeCell ref="A1:H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B4490-9CE5-49AF-BD89-3A8E6DE92868}">
  <dimension ref="A1:E21"/>
  <sheetViews>
    <sheetView workbookViewId="0">
      <selection activeCell="A3" sqref="A3:E9"/>
    </sheetView>
  </sheetViews>
  <sheetFormatPr defaultRowHeight="14.4"/>
  <cols>
    <col min="1" max="1" width="10.77734375" customWidth="1"/>
    <col min="2" max="2" width="67.33203125" customWidth="1"/>
    <col min="3" max="3" width="11.21875" customWidth="1"/>
    <col min="4" max="4" width="14" customWidth="1"/>
    <col min="5" max="5" width="48.44140625" customWidth="1"/>
  </cols>
  <sheetData>
    <row r="1" spans="1:5" ht="21">
      <c r="A1" s="1" t="s">
        <v>107</v>
      </c>
      <c r="B1" s="1"/>
      <c r="C1" s="1"/>
      <c r="D1" s="1"/>
      <c r="E1" s="1"/>
    </row>
    <row r="3" spans="1:5">
      <c r="A3" s="17" t="s">
        <v>108</v>
      </c>
      <c r="B3" s="17" t="s">
        <v>109</v>
      </c>
      <c r="C3" s="17" t="s">
        <v>24</v>
      </c>
      <c r="D3" s="17" t="s">
        <v>110</v>
      </c>
      <c r="E3" s="17" t="s">
        <v>111</v>
      </c>
    </row>
    <row r="4" spans="1:5">
      <c r="A4" s="16" t="s">
        <v>112</v>
      </c>
      <c r="B4" s="16" t="s">
        <v>113</v>
      </c>
      <c r="C4" s="24">
        <v>46233</v>
      </c>
      <c r="D4" s="24">
        <v>46249</v>
      </c>
      <c r="E4" s="16" t="s">
        <v>15</v>
      </c>
    </row>
    <row r="5" spans="1:5">
      <c r="A5" s="16" t="s">
        <v>112</v>
      </c>
      <c r="B5" s="16" t="s">
        <v>114</v>
      </c>
      <c r="C5" s="25" t="s">
        <v>115</v>
      </c>
      <c r="D5" s="24">
        <v>46249</v>
      </c>
      <c r="E5" s="16" t="s">
        <v>116</v>
      </c>
    </row>
    <row r="6" spans="1:5">
      <c r="A6" s="16" t="s">
        <v>112</v>
      </c>
      <c r="B6" s="16" t="s">
        <v>117</v>
      </c>
      <c r="C6" s="26">
        <v>2025</v>
      </c>
      <c r="D6" s="24">
        <v>46249</v>
      </c>
      <c r="E6" s="16" t="s">
        <v>118</v>
      </c>
    </row>
    <row r="7" spans="1:5">
      <c r="A7" s="16" t="s">
        <v>112</v>
      </c>
      <c r="B7" s="16" t="s">
        <v>119</v>
      </c>
      <c r="C7" s="25" t="s">
        <v>120</v>
      </c>
      <c r="D7" s="24">
        <v>46249</v>
      </c>
      <c r="E7" s="16" t="s">
        <v>121</v>
      </c>
    </row>
    <row r="8" spans="1:5">
      <c r="A8" s="16" t="s">
        <v>112</v>
      </c>
      <c r="B8" s="16" t="s">
        <v>122</v>
      </c>
      <c r="C8" s="24">
        <v>46181</v>
      </c>
      <c r="D8" s="24">
        <v>46249</v>
      </c>
      <c r="E8" s="16" t="s">
        <v>123</v>
      </c>
    </row>
    <row r="9" spans="1:5">
      <c r="A9" s="16" t="s">
        <v>112</v>
      </c>
      <c r="B9" s="16" t="s">
        <v>124</v>
      </c>
      <c r="C9" s="24">
        <v>46181</v>
      </c>
      <c r="D9" s="24">
        <v>46249</v>
      </c>
      <c r="E9" s="16" t="s">
        <v>125</v>
      </c>
    </row>
    <row r="10" spans="1:5">
      <c r="C10" s="12"/>
      <c r="D10" s="12"/>
    </row>
    <row r="11" spans="1:5">
      <c r="C11" s="12"/>
      <c r="D11" s="12"/>
    </row>
    <row r="12" spans="1:5">
      <c r="C12" s="12"/>
      <c r="D12" s="12"/>
    </row>
    <row r="13" spans="1:5">
      <c r="C13" s="12"/>
      <c r="D13" s="12"/>
    </row>
    <row r="14" spans="1:5">
      <c r="C14" s="12"/>
      <c r="D14" s="12"/>
    </row>
    <row r="15" spans="1:5">
      <c r="C15" s="12"/>
      <c r="D15" s="12"/>
    </row>
    <row r="16" spans="1:5">
      <c r="C16" s="12"/>
      <c r="D16" s="12"/>
    </row>
    <row r="17" spans="3:4">
      <c r="C17" s="12"/>
      <c r="D17" s="12"/>
    </row>
    <row r="18" spans="3:4">
      <c r="C18" s="12"/>
      <c r="D18" s="12"/>
    </row>
    <row r="19" spans="3:4">
      <c r="C19" s="12"/>
      <c r="D19" s="12"/>
    </row>
    <row r="20" spans="3:4">
      <c r="C20" s="12"/>
      <c r="D20" s="12"/>
    </row>
    <row r="21" spans="3:4">
      <c r="C21" s="12"/>
      <c r="D21" s="12"/>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Financials</vt:lpstr>
      <vt:lpstr>Calculations</vt:lpstr>
      <vt:lpstr>Valuation</vt:lpstr>
      <vt:lpstr>M&amp;A Analysis</vt:lpstr>
      <vt:lpstr>Charts</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Nainika Dharanipathi</dc:creator>
  <cp:lastModifiedBy>Nainika Dharanipathi</cp:lastModifiedBy>
  <cp:lastPrinted>2026-08-12T18:55:06Z</cp:lastPrinted>
  <dcterms:created xsi:type="dcterms:W3CDTF">2026-08-12T14:51:27Z</dcterms:created>
  <dcterms:modified xsi:type="dcterms:W3CDTF">2026-08-17T16:09:34Z</dcterms:modified>
</cp:coreProperties>
</file>